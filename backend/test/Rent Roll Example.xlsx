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enact\Workspace\Work\stackbox\backend\test\"/>
    </mc:Choice>
  </mc:AlternateContent>
  <xr:revisionPtr revIDLastSave="0" documentId="13_ncr:1_{F67D8FDA-8165-43D7-80EC-50D8307007A3}" xr6:coauthVersionLast="47" xr6:coauthVersionMax="47" xr10:uidLastSave="{00000000-0000-0000-0000-000000000000}"/>
  <bookViews>
    <workbookView xWindow="-20610" yWindow="9615" windowWidth="20730" windowHeight="11040" xr2:uid="{00000000-000D-0000-FFFF-FFFF00000000}"/>
  </bookViews>
  <sheets>
    <sheet name="Summary" sheetId="1" r:id="rId1"/>
    <sheet name="Rent Rol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L10" i="1"/>
  <c r="L9" i="1"/>
  <c r="L8" i="1"/>
  <c r="L7" i="1"/>
  <c r="L6" i="1"/>
  <c r="L5" i="1"/>
  <c r="L4" i="1"/>
  <c r="L3" i="1"/>
  <c r="L7" i="2"/>
  <c r="H15" i="1"/>
  <c r="L22" i="2" s="1"/>
  <c r="L15" i="2" l="1"/>
  <c r="L23" i="2"/>
  <c r="L8" i="2"/>
  <c r="L16" i="2"/>
  <c r="L24" i="2"/>
  <c r="L9" i="2"/>
  <c r="L17" i="2"/>
  <c r="L25" i="2"/>
  <c r="L10" i="2"/>
  <c r="L18" i="2"/>
  <c r="L26" i="2"/>
  <c r="L11" i="2"/>
  <c r="L19" i="2"/>
  <c r="L27" i="2"/>
  <c r="L4" i="2"/>
  <c r="L12" i="2"/>
  <c r="L20" i="2"/>
  <c r="L28" i="2"/>
  <c r="L5" i="2"/>
  <c r="L13" i="2"/>
  <c r="L21" i="2"/>
  <c r="L6" i="2"/>
  <c r="L14" i="2"/>
  <c r="K12" i="1" l="1"/>
  <c r="Q9" i="1"/>
  <c r="R9" i="1" s="1"/>
  <c r="S9" i="1" s="1"/>
  <c r="T9" i="1" s="1"/>
  <c r="U9" i="1" s="1"/>
  <c r="V9" i="1" s="1"/>
  <c r="W9" i="1" s="1"/>
  <c r="X9" i="1" s="1"/>
  <c r="Y9" i="1" s="1"/>
  <c r="Z9" i="1" s="1"/>
  <c r="Q8" i="1"/>
  <c r="R8" i="1" s="1"/>
  <c r="S8" i="1" s="1"/>
  <c r="T8" i="1" s="1"/>
  <c r="U8" i="1" s="1"/>
  <c r="V8" i="1" s="1"/>
  <c r="W8" i="1" s="1"/>
  <c r="X8" i="1" s="1"/>
  <c r="Y8" i="1" s="1"/>
  <c r="Z8" i="1" s="1"/>
  <c r="Q7" i="1"/>
  <c r="R7" i="1" s="1"/>
  <c r="S7" i="1" s="1"/>
  <c r="T7" i="1" s="1"/>
  <c r="U7" i="1" s="1"/>
  <c r="V7" i="1" s="1"/>
  <c r="W7" i="1" s="1"/>
  <c r="X7" i="1" s="1"/>
  <c r="Y7" i="1" s="1"/>
  <c r="Z7" i="1" s="1"/>
  <c r="Q2" i="1"/>
  <c r="R2" i="1" s="1"/>
  <c r="S2" i="1" s="1"/>
  <c r="T2" i="1" s="1"/>
  <c r="U2" i="1" s="1"/>
  <c r="V2" i="1" s="1"/>
  <c r="W2" i="1" s="1"/>
  <c r="X2" i="1" s="1"/>
  <c r="Y2" i="1" s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L12" i="1" l="1"/>
  <c r="M12" i="1" s="1"/>
</calcChain>
</file>

<file path=xl/sharedStrings.xml><?xml version="1.0" encoding="utf-8"?>
<sst xmlns="http://schemas.openxmlformats.org/spreadsheetml/2006/main" count="175" uniqueCount="76">
  <si>
    <t>Tenant</t>
  </si>
  <si>
    <t>Lease</t>
  </si>
  <si>
    <t>Floor</t>
  </si>
  <si>
    <t>Total</t>
  </si>
  <si>
    <t>Suite/Room</t>
  </si>
  <si>
    <t>Property Details</t>
  </si>
  <si>
    <t>Street Address</t>
  </si>
  <si>
    <t>City/State/Zip</t>
  </si>
  <si>
    <t>Floors</t>
  </si>
  <si>
    <t>Rent Roll</t>
  </si>
  <si>
    <t>Tenant Name</t>
  </si>
  <si>
    <t>SF</t>
  </si>
  <si>
    <t>Lease Type</t>
  </si>
  <si>
    <t>Lease Start</t>
  </si>
  <si>
    <t>Lease Expiration</t>
  </si>
  <si>
    <t>Guarantor</t>
  </si>
  <si>
    <t>Rent Abatements</t>
  </si>
  <si>
    <t>Number</t>
  </si>
  <si>
    <t>Base Rent (Month)</t>
  </si>
  <si>
    <t>Tenant Improvements</t>
  </si>
  <si>
    <t>Terms</t>
  </si>
  <si>
    <t>Fees</t>
  </si>
  <si>
    <t>Other</t>
  </si>
  <si>
    <t>Lease Term Notes</t>
  </si>
  <si>
    <t>The SQ</t>
  </si>
  <si>
    <t>Floor Details</t>
  </si>
  <si>
    <t>Net Rentable SF</t>
  </si>
  <si>
    <t>845 Texas Ave</t>
  </si>
  <si>
    <t>Houston, Texas, 77002</t>
  </si>
  <si>
    <t>Stabilized Operating Expenses</t>
  </si>
  <si>
    <t>Property Tax Growth Rate</t>
  </si>
  <si>
    <t>Expenses</t>
  </si>
  <si>
    <t>Unit/Year</t>
  </si>
  <si>
    <t>% Fixed</t>
  </si>
  <si>
    <t>Payroll</t>
  </si>
  <si>
    <t>Property Taxes</t>
  </si>
  <si>
    <t>General &amp; Administrative</t>
  </si>
  <si>
    <t>Fixed Charge Assessments</t>
  </si>
  <si>
    <t>Marketing</t>
  </si>
  <si>
    <t>Repairs &amp; Maintenance</t>
  </si>
  <si>
    <t>Hold Period Property Taxes</t>
  </si>
  <si>
    <t>Turnover Costs</t>
  </si>
  <si>
    <t>Contract Services</t>
  </si>
  <si>
    <t>Utilities</t>
  </si>
  <si>
    <t>Utility Billback</t>
  </si>
  <si>
    <t>Insurance</t>
  </si>
  <si>
    <t>Other Expense Assumptions</t>
  </si>
  <si>
    <t>Annual Expense Growth</t>
  </si>
  <si>
    <t>Capital Expense Reserve/Unit</t>
  </si>
  <si>
    <t>Property Management Fee (as % of EGR)</t>
  </si>
  <si>
    <t>Property Tax Information</t>
  </si>
  <si>
    <t>Milage Rate</t>
  </si>
  <si>
    <t>Reassessed Upon Sale</t>
  </si>
  <si>
    <t>No</t>
  </si>
  <si>
    <t>% of Value Assessed</t>
  </si>
  <si>
    <t>Gross</t>
  </si>
  <si>
    <t>Cheniere</t>
  </si>
  <si>
    <t>Squarepoint Capital</t>
  </si>
  <si>
    <t>Moelis &amp; Company</t>
  </si>
  <si>
    <t>Sheppard Mullin</t>
  </si>
  <si>
    <t>Sable Offshore Corp</t>
  </si>
  <si>
    <t>Chicago Title</t>
  </si>
  <si>
    <t>Hines</t>
  </si>
  <si>
    <t>Charter Title Company</t>
  </si>
  <si>
    <t>Vinson &amp; Elkins</t>
  </si>
  <si>
    <t>None</t>
  </si>
  <si>
    <t>Stabilized Other Income</t>
  </si>
  <si>
    <t>Item</t>
  </si>
  <si>
    <t>$/Unit/Month</t>
  </si>
  <si>
    <t>Application Fees</t>
  </si>
  <si>
    <t>Late Fees</t>
  </si>
  <si>
    <t>Pet Rent</t>
  </si>
  <si>
    <t>Pet Fees</t>
  </si>
  <si>
    <t>Garage Income</t>
  </si>
  <si>
    <t>Storage Income</t>
  </si>
  <si>
    <t>#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</si>
</sst>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Year&quot;\ 0"/>
    <numFmt numFmtId="165" formatCode="&quot;$&quot;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0"/>
      <name val="Franklin Gothic Book"/>
      <family val="2"/>
    </font>
    <font>
      <sz val="10"/>
      <color theme="1"/>
      <name val="Franklin Gothic Book"/>
      <family val="2"/>
    </font>
    <font>
      <u/>
      <sz val="10"/>
      <color theme="1"/>
      <name val="Franklin Gothic Book"/>
      <family val="2"/>
    </font>
    <font>
      <sz val="10"/>
      <color rgb="FF0000FF"/>
      <name val="Franklin Gothic Book"/>
      <family val="2"/>
    </font>
    <font>
      <sz val="10"/>
      <name val="Franklin Gothic Book"/>
      <family val="2"/>
    </font>
    <font>
      <b/>
      <sz val="10"/>
      <color theme="1"/>
      <name val="Franklin Gothic Book"/>
      <family val="2"/>
    </font>
    <font>
      <b/>
      <sz val="10"/>
      <name val="Franklin Gothic Book"/>
      <family val="2"/>
    </font>
    <font>
      <sz val="11"/>
      <color rgb="FF0000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right"/>
    </xf>
    <xf numFmtId="0" fontId="0" fillId="4" borderId="9" xfId="0" applyFill="1" applyBorder="1" applyAlignment="1">
      <alignment horizontal="right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8" fontId="0" fillId="0" borderId="0" xfId="0" applyNumberFormat="1" applyAlignment="1">
      <alignment horizontal="center"/>
    </xf>
    <xf numFmtId="0" fontId="4" fillId="2" borderId="10" xfId="0" applyFont="1" applyFill="1" applyBorder="1" applyAlignment="1">
      <alignment horizontal="centerContinuous"/>
    </xf>
    <xf numFmtId="0" fontId="4" fillId="2" borderId="11" xfId="0" applyFont="1" applyFill="1" applyBorder="1" applyAlignment="1">
      <alignment horizontal="centerContinuous"/>
    </xf>
    <xf numFmtId="0" fontId="4" fillId="2" borderId="12" xfId="0" applyFont="1" applyFill="1" applyBorder="1" applyAlignment="1">
      <alignment horizontal="centerContinuous"/>
    </xf>
    <xf numFmtId="0" fontId="5" fillId="0" borderId="0" xfId="0" applyFont="1"/>
    <xf numFmtId="0" fontId="6" fillId="5" borderId="10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164" fontId="6" fillId="5" borderId="10" xfId="0" applyNumberFormat="1" applyFont="1" applyFill="1" applyBorder="1" applyAlignment="1">
      <alignment horizontal="center"/>
    </xf>
    <xf numFmtId="164" fontId="6" fillId="5" borderId="11" xfId="0" applyNumberFormat="1" applyFont="1" applyFill="1" applyBorder="1" applyAlignment="1">
      <alignment horizontal="center"/>
    </xf>
    <xf numFmtId="164" fontId="6" fillId="5" borderId="12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6" fontId="7" fillId="0" borderId="0" xfId="0" applyNumberFormat="1" applyFont="1" applyAlignment="1">
      <alignment horizontal="center"/>
    </xf>
    <xf numFmtId="6" fontId="5" fillId="0" borderId="0" xfId="0" applyNumberFormat="1" applyFont="1" applyAlignment="1">
      <alignment horizontal="center"/>
    </xf>
    <xf numFmtId="9" fontId="7" fillId="0" borderId="5" xfId="1" applyFont="1" applyBorder="1" applyAlignment="1">
      <alignment horizontal="center"/>
    </xf>
    <xf numFmtId="0" fontId="5" fillId="0" borderId="0" xfId="0" applyFont="1" applyAlignment="1">
      <alignment horizontal="right"/>
    </xf>
    <xf numFmtId="10" fontId="7" fillId="0" borderId="3" xfId="1" applyNumberFormat="1" applyFont="1" applyBorder="1" applyAlignment="1">
      <alignment horizontal="center"/>
    </xf>
    <xf numFmtId="10" fontId="7" fillId="0" borderId="13" xfId="1" applyNumberFormat="1" applyFont="1" applyBorder="1" applyAlignment="1">
      <alignment horizontal="center"/>
    </xf>
    <xf numFmtId="10" fontId="7" fillId="0" borderId="4" xfId="1" applyNumberFormat="1" applyFont="1" applyBorder="1" applyAlignment="1">
      <alignment horizontal="center"/>
    </xf>
    <xf numFmtId="0" fontId="5" fillId="4" borderId="1" xfId="0" applyFont="1" applyFill="1" applyBorder="1" applyAlignment="1">
      <alignment horizontal="right"/>
    </xf>
    <xf numFmtId="10" fontId="7" fillId="0" borderId="6" xfId="1" applyNumberFormat="1" applyFont="1" applyBorder="1" applyAlignment="1">
      <alignment horizontal="center"/>
    </xf>
    <xf numFmtId="10" fontId="7" fillId="0" borderId="14" xfId="1" applyNumberFormat="1" applyFont="1" applyBorder="1" applyAlignment="1">
      <alignment horizontal="center"/>
    </xf>
    <xf numFmtId="10" fontId="7" fillId="0" borderId="7" xfId="1" applyNumberFormat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165" fontId="8" fillId="0" borderId="13" xfId="1" applyNumberFormat="1" applyFont="1" applyBorder="1" applyAlignment="1">
      <alignment horizontal="center"/>
    </xf>
    <xf numFmtId="165" fontId="8" fillId="0" borderId="4" xfId="1" applyNumberFormat="1" applyFont="1" applyBorder="1" applyAlignment="1">
      <alignment horizontal="center"/>
    </xf>
    <xf numFmtId="165" fontId="7" fillId="0" borderId="6" xfId="1" applyNumberFormat="1" applyFont="1" applyBorder="1" applyAlignment="1">
      <alignment horizontal="center"/>
    </xf>
    <xf numFmtId="165" fontId="8" fillId="0" borderId="14" xfId="1" applyNumberFormat="1" applyFont="1" applyBorder="1" applyAlignment="1">
      <alignment horizontal="center"/>
    </xf>
    <xf numFmtId="165" fontId="8" fillId="0" borderId="7" xfId="1" applyNumberFormat="1" applyFont="1" applyBorder="1" applyAlignment="1">
      <alignment horizontal="center"/>
    </xf>
    <xf numFmtId="0" fontId="9" fillId="4" borderId="2" xfId="0" applyFont="1" applyFill="1" applyBorder="1" applyAlignment="1">
      <alignment horizontal="right"/>
    </xf>
    <xf numFmtId="6" fontId="10" fillId="0" borderId="11" xfId="0" applyNumberFormat="1" applyFont="1" applyBorder="1" applyAlignment="1">
      <alignment horizontal="center"/>
    </xf>
    <xf numFmtId="6" fontId="9" fillId="0" borderId="11" xfId="0" applyNumberFormat="1" applyFont="1" applyBorder="1" applyAlignment="1">
      <alignment horizontal="center"/>
    </xf>
    <xf numFmtId="9" fontId="9" fillId="0" borderId="12" xfId="1" applyFont="1" applyBorder="1" applyAlignment="1">
      <alignment horizontal="center"/>
    </xf>
    <xf numFmtId="10" fontId="7" fillId="0" borderId="8" xfId="1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0" fontId="5" fillId="4" borderId="9" xfId="0" applyFont="1" applyFill="1" applyBorder="1" applyAlignment="1">
      <alignment horizontal="right"/>
    </xf>
    <xf numFmtId="10" fontId="7" fillId="0" borderId="9" xfId="1" applyNumberFormat="1" applyFont="1" applyBorder="1" applyAlignment="1">
      <alignment horizontal="center"/>
    </xf>
    <xf numFmtId="9" fontId="7" fillId="0" borderId="9" xfId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0" xfId="0" applyFont="1" applyAlignment="1">
      <alignment horizontal="center"/>
    </xf>
    <xf numFmtId="8" fontId="11" fillId="0" borderId="0" xfId="0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right"/>
    </xf>
    <xf numFmtId="0" fontId="8" fillId="5" borderId="1" xfId="0" applyFont="1" applyFill="1" applyBorder="1" applyAlignment="1">
      <alignment horizontal="right"/>
    </xf>
    <xf numFmtId="0" fontId="8" fillId="5" borderId="9" xfId="0" applyFont="1" applyFill="1" applyBorder="1" applyAlignment="1">
      <alignment horizontal="right"/>
    </xf>
    <xf numFmtId="0" fontId="10" fillId="4" borderId="10" xfId="0" applyFont="1" applyFill="1" applyBorder="1" applyAlignment="1">
      <alignment horizontal="right"/>
    </xf>
    <xf numFmtId="165" fontId="9" fillId="4" borderId="12" xfId="0" applyNumberFormat="1" applyFont="1" applyFill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8" fontId="0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showGridLines="0" tabSelected="1" zoomScaleNormal="100" workbookViewId="0">
      <selection sqref="A1:B1"/>
    </sheetView>
  </sheetViews>
  <sheetFormatPr defaultRowHeight="15" x14ac:dyDescent="0.25"/>
  <cols>
    <col min="1" max="1" width="15.7109375" bestFit="1" customWidth="1"/>
    <col min="2" max="2" width="20.7109375" bestFit="1" customWidth="1"/>
    <col min="4" max="4" width="9.140625" style="1"/>
    <col min="5" max="5" width="15.28515625" style="1" bestFit="1" customWidth="1"/>
    <col min="7" max="7" width="14.140625" bestFit="1" customWidth="1"/>
    <col min="8" max="8" width="12.140625" bestFit="1" customWidth="1"/>
    <col min="10" max="10" width="33.42578125" bestFit="1" customWidth="1"/>
    <col min="12" max="12" width="11.5703125" bestFit="1" customWidth="1"/>
    <col min="15" max="15" width="22.5703125" bestFit="1" customWidth="1"/>
    <col min="16" max="26" width="9.42578125" bestFit="1" customWidth="1"/>
  </cols>
  <sheetData>
    <row r="1" spans="1:26" x14ac:dyDescent="0.25">
      <c r="A1" s="55" t="s">
        <v>5</v>
      </c>
      <c r="B1" s="56"/>
      <c r="D1" s="57" t="s">
        <v>25</v>
      </c>
      <c r="E1" s="58"/>
      <c r="G1" s="10" t="s">
        <v>66</v>
      </c>
      <c r="H1" s="12"/>
      <c r="J1" s="10" t="s">
        <v>29</v>
      </c>
      <c r="K1" s="11"/>
      <c r="L1" s="11"/>
      <c r="M1" s="12"/>
      <c r="N1" s="13"/>
      <c r="O1" s="13"/>
      <c r="P1" s="10" t="s">
        <v>30</v>
      </c>
      <c r="Q1" s="11"/>
      <c r="R1" s="11"/>
      <c r="S1" s="11"/>
      <c r="T1" s="11"/>
      <c r="U1" s="11"/>
      <c r="V1" s="11"/>
      <c r="W1" s="11"/>
      <c r="X1" s="11"/>
      <c r="Y1" s="12"/>
      <c r="Z1" s="13"/>
    </row>
    <row r="2" spans="1:26" x14ac:dyDescent="0.25">
      <c r="A2" s="4" t="s">
        <v>75</v>
      </c>
      <c r="B2" s="48">
        <v>100</v>
      </c>
      <c r="D2" s="2" t="s">
        <v>2</v>
      </c>
      <c r="E2" s="2" t="s">
        <v>26</v>
      </c>
      <c r="G2" s="62" t="s">
        <v>67</v>
      </c>
      <c r="H2" s="63" t="s">
        <v>68</v>
      </c>
      <c r="J2" s="14" t="s">
        <v>31</v>
      </c>
      <c r="K2" s="15" t="s">
        <v>32</v>
      </c>
      <c r="L2" s="15" t="s">
        <v>3</v>
      </c>
      <c r="M2" s="16" t="s">
        <v>33</v>
      </c>
      <c r="N2" s="13"/>
      <c r="O2" s="13"/>
      <c r="P2" s="17">
        <v>1</v>
      </c>
      <c r="Q2" s="18">
        <f>+P2+1</f>
        <v>2</v>
      </c>
      <c r="R2" s="18">
        <f t="shared" ref="R2:Y2" si="0">+Q2+1</f>
        <v>3</v>
      </c>
      <c r="S2" s="18">
        <f t="shared" si="0"/>
        <v>4</v>
      </c>
      <c r="T2" s="18">
        <f t="shared" si="0"/>
        <v>5</v>
      </c>
      <c r="U2" s="18">
        <f t="shared" si="0"/>
        <v>6</v>
      </c>
      <c r="V2" s="18">
        <f t="shared" si="0"/>
        <v>7</v>
      </c>
      <c r="W2" s="18">
        <f t="shared" si="0"/>
        <v>8</v>
      </c>
      <c r="X2" s="18">
        <f t="shared" si="0"/>
        <v>9</v>
      </c>
      <c r="Y2" s="19">
        <f t="shared" si="0"/>
        <v>10</v>
      </c>
      <c r="Z2" s="13"/>
    </row>
    <row r="3" spans="1:26" x14ac:dyDescent="0.25">
      <c r="A3" s="4" t="s">
        <v>8</v>
      </c>
      <c r="B3" s="50">
        <v>48</v>
      </c>
      <c r="D3" s="6">
        <v>1</v>
      </c>
      <c r="E3" s="47">
        <v>10000</v>
      </c>
      <c r="G3" s="64" t="s">
        <v>69</v>
      </c>
      <c r="H3" s="69">
        <v>5</v>
      </c>
      <c r="J3" s="20" t="s">
        <v>34</v>
      </c>
      <c r="K3" s="21">
        <v>1500</v>
      </c>
      <c r="L3" s="22">
        <f>+K3*$B$2</f>
        <v>150000</v>
      </c>
      <c r="M3" s="23">
        <v>0.8</v>
      </c>
      <c r="N3" s="13"/>
      <c r="O3" s="24" t="s">
        <v>35</v>
      </c>
      <c r="P3" s="25">
        <v>0.5</v>
      </c>
      <c r="Q3" s="26">
        <v>0.25</v>
      </c>
      <c r="R3" s="26">
        <v>0.03</v>
      </c>
      <c r="S3" s="26">
        <v>0.03</v>
      </c>
      <c r="T3" s="26">
        <v>0.03</v>
      </c>
      <c r="U3" s="26">
        <v>0.03</v>
      </c>
      <c r="V3" s="26">
        <v>0.03</v>
      </c>
      <c r="W3" s="26">
        <v>0.03</v>
      </c>
      <c r="X3" s="26">
        <v>0.03</v>
      </c>
      <c r="Y3" s="27">
        <v>0.03</v>
      </c>
      <c r="Z3" s="13"/>
    </row>
    <row r="4" spans="1:26" x14ac:dyDescent="0.25">
      <c r="A4" s="4" t="s">
        <v>6</v>
      </c>
      <c r="B4" s="50" t="s">
        <v>27</v>
      </c>
      <c r="D4" s="7">
        <f>+D3+1</f>
        <v>2</v>
      </c>
      <c r="E4" s="48">
        <v>10000</v>
      </c>
      <c r="G4" s="65" t="s">
        <v>70</v>
      </c>
      <c r="H4" s="70">
        <v>5</v>
      </c>
      <c r="J4" s="28" t="s">
        <v>36</v>
      </c>
      <c r="K4" s="21">
        <v>250</v>
      </c>
      <c r="L4" s="22">
        <f t="shared" ref="L4:L11" si="1">+K4*$B$2</f>
        <v>25000</v>
      </c>
      <c r="M4" s="23">
        <v>0.5</v>
      </c>
      <c r="N4" s="13"/>
      <c r="O4" s="24" t="s">
        <v>37</v>
      </c>
      <c r="P4" s="29">
        <v>0.1</v>
      </c>
      <c r="Q4" s="30">
        <v>0.05</v>
      </c>
      <c r="R4" s="30">
        <v>0.03</v>
      </c>
      <c r="S4" s="30">
        <v>0.03</v>
      </c>
      <c r="T4" s="30">
        <v>0.03</v>
      </c>
      <c r="U4" s="30">
        <v>0.03</v>
      </c>
      <c r="V4" s="30">
        <v>0.03</v>
      </c>
      <c r="W4" s="30">
        <v>0.03</v>
      </c>
      <c r="X4" s="30">
        <v>0.03</v>
      </c>
      <c r="Y4" s="31">
        <v>0.03</v>
      </c>
      <c r="Z4" s="13"/>
    </row>
    <row r="5" spans="1:26" x14ac:dyDescent="0.25">
      <c r="A5" s="5" t="s">
        <v>7</v>
      </c>
      <c r="B5" s="51" t="s">
        <v>28</v>
      </c>
      <c r="D5" s="7">
        <f t="shared" ref="D5:D50" si="2">+D4+1</f>
        <v>3</v>
      </c>
      <c r="E5" s="48">
        <v>10000</v>
      </c>
      <c r="G5" s="65" t="s">
        <v>71</v>
      </c>
      <c r="H5" s="70">
        <v>15</v>
      </c>
      <c r="J5" s="28" t="s">
        <v>38</v>
      </c>
      <c r="K5" s="21">
        <v>250</v>
      </c>
      <c r="L5" s="22">
        <f t="shared" si="1"/>
        <v>25000</v>
      </c>
      <c r="M5" s="23">
        <v>1</v>
      </c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D6" s="7">
        <f t="shared" si="2"/>
        <v>4</v>
      </c>
      <c r="E6" s="48">
        <v>10000</v>
      </c>
      <c r="G6" s="65" t="s">
        <v>72</v>
      </c>
      <c r="H6" s="70">
        <v>5</v>
      </c>
      <c r="J6" s="28" t="s">
        <v>39</v>
      </c>
      <c r="K6" s="21">
        <v>400</v>
      </c>
      <c r="L6" s="22">
        <f t="shared" si="1"/>
        <v>40000</v>
      </c>
      <c r="M6" s="23">
        <v>0.3</v>
      </c>
      <c r="N6" s="13"/>
      <c r="O6" s="13"/>
      <c r="P6" s="10" t="s">
        <v>40</v>
      </c>
      <c r="Q6" s="11"/>
      <c r="R6" s="11"/>
      <c r="S6" s="11"/>
      <c r="T6" s="11"/>
      <c r="U6" s="11"/>
      <c r="V6" s="11"/>
      <c r="W6" s="11"/>
      <c r="X6" s="11"/>
      <c r="Y6" s="11"/>
      <c r="Z6" s="12"/>
    </row>
    <row r="7" spans="1:26" x14ac:dyDescent="0.25">
      <c r="D7" s="7">
        <f t="shared" si="2"/>
        <v>5</v>
      </c>
      <c r="E7" s="48">
        <v>10000</v>
      </c>
      <c r="G7" s="65" t="s">
        <v>73</v>
      </c>
      <c r="H7" s="70">
        <v>20</v>
      </c>
      <c r="J7" s="28" t="s">
        <v>41</v>
      </c>
      <c r="K7" s="21">
        <v>300</v>
      </c>
      <c r="L7" s="22">
        <f t="shared" si="1"/>
        <v>30000</v>
      </c>
      <c r="M7" s="23">
        <v>0</v>
      </c>
      <c r="N7" s="13"/>
      <c r="O7" s="13"/>
      <c r="P7" s="17">
        <v>1</v>
      </c>
      <c r="Q7" s="18">
        <f>+P7+1</f>
        <v>2</v>
      </c>
      <c r="R7" s="18">
        <f t="shared" ref="R7:Z7" si="3">+Q7+1</f>
        <v>3</v>
      </c>
      <c r="S7" s="18">
        <f t="shared" si="3"/>
        <v>4</v>
      </c>
      <c r="T7" s="18">
        <f t="shared" si="3"/>
        <v>5</v>
      </c>
      <c r="U7" s="18">
        <f t="shared" si="3"/>
        <v>6</v>
      </c>
      <c r="V7" s="18">
        <f t="shared" si="3"/>
        <v>7</v>
      </c>
      <c r="W7" s="18">
        <f t="shared" si="3"/>
        <v>8</v>
      </c>
      <c r="X7" s="18">
        <f t="shared" si="3"/>
        <v>9</v>
      </c>
      <c r="Y7" s="18">
        <f t="shared" si="3"/>
        <v>10</v>
      </c>
      <c r="Z7" s="19">
        <f t="shared" si="3"/>
        <v>11</v>
      </c>
    </row>
    <row r="8" spans="1:26" x14ac:dyDescent="0.25">
      <c r="D8" s="7">
        <f t="shared" si="2"/>
        <v>6</v>
      </c>
      <c r="E8" s="48">
        <v>10000</v>
      </c>
      <c r="G8" s="65" t="s">
        <v>74</v>
      </c>
      <c r="H8" s="70">
        <v>5</v>
      </c>
      <c r="J8" s="28" t="s">
        <v>42</v>
      </c>
      <c r="K8" s="21">
        <v>50</v>
      </c>
      <c r="L8" s="22">
        <f t="shared" si="1"/>
        <v>5000</v>
      </c>
      <c r="M8" s="23">
        <v>0.8</v>
      </c>
      <c r="N8" s="13"/>
      <c r="O8" s="24" t="s">
        <v>35</v>
      </c>
      <c r="P8" s="32">
        <v>100000</v>
      </c>
      <c r="Q8" s="33">
        <f>+P8*(1+P3)</f>
        <v>150000</v>
      </c>
      <c r="R8" s="33">
        <f t="shared" ref="R8:Z9" si="4">+Q8*(1+Q3)</f>
        <v>187500</v>
      </c>
      <c r="S8" s="33">
        <f t="shared" si="4"/>
        <v>193125</v>
      </c>
      <c r="T8" s="33">
        <f t="shared" si="4"/>
        <v>198918.75</v>
      </c>
      <c r="U8" s="33">
        <f t="shared" si="4"/>
        <v>204886.3125</v>
      </c>
      <c r="V8" s="33">
        <f t="shared" si="4"/>
        <v>211032.90187500001</v>
      </c>
      <c r="W8" s="33">
        <f t="shared" si="4"/>
        <v>217363.88893125003</v>
      </c>
      <c r="X8" s="33">
        <f t="shared" si="4"/>
        <v>223884.80559918753</v>
      </c>
      <c r="Y8" s="33">
        <f t="shared" si="4"/>
        <v>230601.34976716316</v>
      </c>
      <c r="Z8" s="34">
        <f t="shared" si="4"/>
        <v>237519.39026017807</v>
      </c>
    </row>
    <row r="9" spans="1:26" x14ac:dyDescent="0.25">
      <c r="D9" s="7">
        <f t="shared" si="2"/>
        <v>7</v>
      </c>
      <c r="E9" s="48">
        <v>10000</v>
      </c>
      <c r="G9" s="65" t="s">
        <v>22</v>
      </c>
      <c r="H9" s="70">
        <v>0</v>
      </c>
      <c r="J9" s="28" t="s">
        <v>43</v>
      </c>
      <c r="K9" s="21">
        <v>200</v>
      </c>
      <c r="L9" s="22">
        <f t="shared" si="1"/>
        <v>20000</v>
      </c>
      <c r="M9" s="23">
        <v>0.2</v>
      </c>
      <c r="N9" s="13"/>
      <c r="O9" s="24" t="s">
        <v>37</v>
      </c>
      <c r="P9" s="35">
        <v>5000</v>
      </c>
      <c r="Q9" s="36">
        <f>+P9*(1+P4)</f>
        <v>5500</v>
      </c>
      <c r="R9" s="36">
        <f t="shared" si="4"/>
        <v>5775</v>
      </c>
      <c r="S9" s="36">
        <f t="shared" si="4"/>
        <v>5948.25</v>
      </c>
      <c r="T9" s="36">
        <f t="shared" si="4"/>
        <v>6126.6975000000002</v>
      </c>
      <c r="U9" s="36">
        <f t="shared" si="4"/>
        <v>6310.4984250000007</v>
      </c>
      <c r="V9" s="36">
        <f t="shared" si="4"/>
        <v>6499.8133777500007</v>
      </c>
      <c r="W9" s="36">
        <f t="shared" si="4"/>
        <v>6694.8077790825009</v>
      </c>
      <c r="X9" s="36">
        <f t="shared" si="4"/>
        <v>6895.6520124549761</v>
      </c>
      <c r="Y9" s="36">
        <f t="shared" si="4"/>
        <v>7102.5215728286257</v>
      </c>
      <c r="Z9" s="37">
        <f t="shared" si="4"/>
        <v>7315.5972200134847</v>
      </c>
    </row>
    <row r="10" spans="1:26" x14ac:dyDescent="0.25">
      <c r="D10" s="7">
        <f t="shared" si="2"/>
        <v>8</v>
      </c>
      <c r="E10" s="48">
        <v>10000</v>
      </c>
      <c r="G10" s="65" t="s">
        <v>22</v>
      </c>
      <c r="H10" s="70">
        <v>0</v>
      </c>
      <c r="J10" s="28" t="s">
        <v>44</v>
      </c>
      <c r="K10" s="21">
        <v>-25</v>
      </c>
      <c r="L10" s="22">
        <f t="shared" si="1"/>
        <v>-2500</v>
      </c>
      <c r="M10" s="23">
        <v>0</v>
      </c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5">
      <c r="D11" s="7">
        <f t="shared" si="2"/>
        <v>9</v>
      </c>
      <c r="E11" s="48">
        <v>10000</v>
      </c>
      <c r="G11" s="65" t="s">
        <v>22</v>
      </c>
      <c r="H11" s="70">
        <v>0</v>
      </c>
      <c r="J11" s="28" t="s">
        <v>45</v>
      </c>
      <c r="K11" s="21">
        <v>400</v>
      </c>
      <c r="L11" s="22">
        <f t="shared" si="1"/>
        <v>40000</v>
      </c>
      <c r="M11" s="23">
        <v>1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D12" s="7">
        <f t="shared" si="2"/>
        <v>10</v>
      </c>
      <c r="E12" s="48">
        <v>10000</v>
      </c>
      <c r="G12" s="65" t="s">
        <v>22</v>
      </c>
      <c r="H12" s="70">
        <v>0</v>
      </c>
      <c r="J12" s="38" t="s">
        <v>3</v>
      </c>
      <c r="K12" s="39">
        <f>+SUM(K3:K11)</f>
        <v>3325</v>
      </c>
      <c r="L12" s="40">
        <f>+SUM(L3:L11)</f>
        <v>332500</v>
      </c>
      <c r="M12" s="41">
        <f>+IFERROR(SUMPRODUCT(L3:L11,M3:M11)/L12,0)</f>
        <v>0.65413533834586468</v>
      </c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D13" s="7">
        <f t="shared" si="2"/>
        <v>11</v>
      </c>
      <c r="E13" s="48">
        <v>10000</v>
      </c>
      <c r="G13" s="65" t="s">
        <v>22</v>
      </c>
      <c r="H13" s="70">
        <v>0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D14" s="7">
        <f t="shared" si="2"/>
        <v>12</v>
      </c>
      <c r="E14" s="48">
        <v>10000</v>
      </c>
      <c r="G14" s="66" t="s">
        <v>22</v>
      </c>
      <c r="H14" s="71">
        <v>0</v>
      </c>
      <c r="J14" s="10" t="s">
        <v>46</v>
      </c>
      <c r="K14" s="12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5">
      <c r="D15" s="7">
        <f t="shared" si="2"/>
        <v>13</v>
      </c>
      <c r="E15" s="48">
        <v>10000</v>
      </c>
      <c r="G15" s="67" t="s">
        <v>3</v>
      </c>
      <c r="H15" s="68">
        <f>+SUM(H3:H14)</f>
        <v>55</v>
      </c>
      <c r="J15" s="28" t="s">
        <v>47</v>
      </c>
      <c r="K15" s="42">
        <v>0.03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5">
      <c r="D16" s="7">
        <f t="shared" si="2"/>
        <v>14</v>
      </c>
      <c r="E16" s="48">
        <v>10000</v>
      </c>
      <c r="J16" s="28" t="s">
        <v>48</v>
      </c>
      <c r="K16" s="43">
        <v>250</v>
      </c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4:26" x14ac:dyDescent="0.25">
      <c r="D17" s="7">
        <f t="shared" si="2"/>
        <v>15</v>
      </c>
      <c r="E17" s="48">
        <v>10000</v>
      </c>
      <c r="J17" s="44" t="s">
        <v>49</v>
      </c>
      <c r="K17" s="45">
        <v>0.03</v>
      </c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4:26" x14ac:dyDescent="0.25">
      <c r="D18" s="7">
        <f t="shared" si="2"/>
        <v>16</v>
      </c>
      <c r="E18" s="48">
        <v>10000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4:26" x14ac:dyDescent="0.25">
      <c r="D19" s="7">
        <f t="shared" si="2"/>
        <v>17</v>
      </c>
      <c r="E19" s="48">
        <v>10000</v>
      </c>
      <c r="J19" s="10" t="s">
        <v>50</v>
      </c>
      <c r="K19" s="12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4:26" x14ac:dyDescent="0.25">
      <c r="D20" s="7">
        <f t="shared" si="2"/>
        <v>18</v>
      </c>
      <c r="E20" s="48">
        <v>10000</v>
      </c>
      <c r="J20" s="28" t="s">
        <v>51</v>
      </c>
      <c r="K20" s="42">
        <v>0.01</v>
      </c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4:26" x14ac:dyDescent="0.25">
      <c r="D21" s="7">
        <f t="shared" si="2"/>
        <v>19</v>
      </c>
      <c r="E21" s="48">
        <v>10000</v>
      </c>
      <c r="J21" s="28" t="s">
        <v>52</v>
      </c>
      <c r="K21" s="43" t="s">
        <v>53</v>
      </c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4:26" x14ac:dyDescent="0.25">
      <c r="D22" s="7">
        <f t="shared" si="2"/>
        <v>20</v>
      </c>
      <c r="E22" s="48">
        <v>10000</v>
      </c>
      <c r="J22" s="44" t="s">
        <v>54</v>
      </c>
      <c r="K22" s="46">
        <v>1</v>
      </c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4:26" x14ac:dyDescent="0.25">
      <c r="D23" s="7">
        <f t="shared" si="2"/>
        <v>21</v>
      </c>
      <c r="E23" s="48">
        <v>10000</v>
      </c>
    </row>
    <row r="24" spans="4:26" x14ac:dyDescent="0.25">
      <c r="D24" s="7">
        <f t="shared" si="2"/>
        <v>22</v>
      </c>
      <c r="E24" s="48">
        <v>10000</v>
      </c>
    </row>
    <row r="25" spans="4:26" x14ac:dyDescent="0.25">
      <c r="D25" s="7">
        <f t="shared" si="2"/>
        <v>23</v>
      </c>
      <c r="E25" s="48">
        <v>10000</v>
      </c>
    </row>
    <row r="26" spans="4:26" x14ac:dyDescent="0.25">
      <c r="D26" s="7">
        <f t="shared" si="2"/>
        <v>24</v>
      </c>
      <c r="E26" s="48">
        <v>10000</v>
      </c>
    </row>
    <row r="27" spans="4:26" x14ac:dyDescent="0.25">
      <c r="D27" s="7">
        <f t="shared" si="2"/>
        <v>25</v>
      </c>
      <c r="E27" s="48">
        <v>10000</v>
      </c>
    </row>
    <row r="28" spans="4:26" x14ac:dyDescent="0.25">
      <c r="D28" s="7">
        <f t="shared" si="2"/>
        <v>26</v>
      </c>
      <c r="E28" s="48">
        <v>10000</v>
      </c>
    </row>
    <row r="29" spans="4:26" x14ac:dyDescent="0.25">
      <c r="D29" s="7">
        <f t="shared" si="2"/>
        <v>27</v>
      </c>
      <c r="E29" s="48">
        <v>10000</v>
      </c>
    </row>
    <row r="30" spans="4:26" x14ac:dyDescent="0.25">
      <c r="D30" s="7">
        <f t="shared" si="2"/>
        <v>28</v>
      </c>
      <c r="E30" s="48">
        <v>10000</v>
      </c>
    </row>
    <row r="31" spans="4:26" x14ac:dyDescent="0.25">
      <c r="D31" s="7">
        <f t="shared" si="2"/>
        <v>29</v>
      </c>
      <c r="E31" s="48">
        <v>10000</v>
      </c>
    </row>
    <row r="32" spans="4:26" x14ac:dyDescent="0.25">
      <c r="D32" s="7">
        <f t="shared" si="2"/>
        <v>30</v>
      </c>
      <c r="E32" s="48">
        <v>10000</v>
      </c>
    </row>
    <row r="33" spans="4:5" x14ac:dyDescent="0.25">
      <c r="D33" s="7">
        <f t="shared" si="2"/>
        <v>31</v>
      </c>
      <c r="E33" s="48">
        <v>10000</v>
      </c>
    </row>
    <row r="34" spans="4:5" x14ac:dyDescent="0.25">
      <c r="D34" s="7">
        <f t="shared" si="2"/>
        <v>32</v>
      </c>
      <c r="E34" s="48">
        <v>10000</v>
      </c>
    </row>
    <row r="35" spans="4:5" x14ac:dyDescent="0.25">
      <c r="D35" s="7">
        <f t="shared" si="2"/>
        <v>33</v>
      </c>
      <c r="E35" s="48">
        <v>10000</v>
      </c>
    </row>
    <row r="36" spans="4:5" x14ac:dyDescent="0.25">
      <c r="D36" s="7">
        <f t="shared" si="2"/>
        <v>34</v>
      </c>
      <c r="E36" s="48">
        <v>10000</v>
      </c>
    </row>
    <row r="37" spans="4:5" x14ac:dyDescent="0.25">
      <c r="D37" s="7">
        <f t="shared" si="2"/>
        <v>35</v>
      </c>
      <c r="E37" s="48">
        <v>10000</v>
      </c>
    </row>
    <row r="38" spans="4:5" x14ac:dyDescent="0.25">
      <c r="D38" s="7">
        <f t="shared" si="2"/>
        <v>36</v>
      </c>
      <c r="E38" s="48">
        <v>10000</v>
      </c>
    </row>
    <row r="39" spans="4:5" x14ac:dyDescent="0.25">
      <c r="D39" s="7">
        <f t="shared" si="2"/>
        <v>37</v>
      </c>
      <c r="E39" s="48">
        <v>10000</v>
      </c>
    </row>
    <row r="40" spans="4:5" x14ac:dyDescent="0.25">
      <c r="D40" s="7">
        <f t="shared" si="2"/>
        <v>38</v>
      </c>
      <c r="E40" s="48">
        <v>10000</v>
      </c>
    </row>
    <row r="41" spans="4:5" x14ac:dyDescent="0.25">
      <c r="D41" s="7">
        <f t="shared" si="2"/>
        <v>39</v>
      </c>
      <c r="E41" s="48">
        <v>10000</v>
      </c>
    </row>
    <row r="42" spans="4:5" x14ac:dyDescent="0.25">
      <c r="D42" s="7">
        <f t="shared" si="2"/>
        <v>40</v>
      </c>
      <c r="E42" s="48">
        <v>10000</v>
      </c>
    </row>
    <row r="43" spans="4:5" x14ac:dyDescent="0.25">
      <c r="D43" s="7">
        <f t="shared" si="2"/>
        <v>41</v>
      </c>
      <c r="E43" s="48">
        <v>10000</v>
      </c>
    </row>
    <row r="44" spans="4:5" x14ac:dyDescent="0.25">
      <c r="D44" s="7">
        <f t="shared" si="2"/>
        <v>42</v>
      </c>
      <c r="E44" s="48">
        <v>10000</v>
      </c>
    </row>
    <row r="45" spans="4:5" x14ac:dyDescent="0.25">
      <c r="D45" s="7">
        <f t="shared" si="2"/>
        <v>43</v>
      </c>
      <c r="E45" s="48">
        <v>10000</v>
      </c>
    </row>
    <row r="46" spans="4:5" x14ac:dyDescent="0.25">
      <c r="D46" s="7">
        <f t="shared" si="2"/>
        <v>44</v>
      </c>
      <c r="E46" s="48">
        <v>10000</v>
      </c>
    </row>
    <row r="47" spans="4:5" x14ac:dyDescent="0.25">
      <c r="D47" s="7">
        <f t="shared" si="2"/>
        <v>45</v>
      </c>
      <c r="E47" s="48">
        <v>10000</v>
      </c>
    </row>
    <row r="48" spans="4:5" x14ac:dyDescent="0.25">
      <c r="D48" s="7">
        <f t="shared" si="2"/>
        <v>46</v>
      </c>
      <c r="E48" s="48">
        <v>10000</v>
      </c>
    </row>
    <row r="49" spans="4:5" x14ac:dyDescent="0.25">
      <c r="D49" s="7">
        <f t="shared" si="2"/>
        <v>47</v>
      </c>
      <c r="E49" s="48">
        <v>10000</v>
      </c>
    </row>
    <row r="50" spans="4:5" x14ac:dyDescent="0.25">
      <c r="D50" s="8">
        <f t="shared" si="2"/>
        <v>48</v>
      </c>
      <c r="E50" s="49">
        <v>10000</v>
      </c>
    </row>
  </sheetData>
  <mergeCells count="2">
    <mergeCell ref="A1:B1"/>
    <mergeCell ref="D1:E1"/>
  </mergeCells>
  <dataValidations count="1">
    <dataValidation type="list" allowBlank="1" showInputMessage="1" showErrorMessage="1" sqref="K21" xr:uid="{EFEDE12B-C66D-495C-9F2C-CECF8E598085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37531-D98E-4EAF-8CAA-5346B2E33ACF}">
  <dimension ref="A1:M28"/>
  <sheetViews>
    <sheetView showGridLines="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1.5703125" style="1" bestFit="1" customWidth="1"/>
    <col min="2" max="2" width="12.85546875" style="1" bestFit="1" customWidth="1"/>
    <col min="3" max="3" width="21" style="1" bestFit="1" customWidth="1"/>
    <col min="4" max="4" width="11.85546875" style="1" bestFit="1" customWidth="1"/>
    <col min="5" max="5" width="17.7109375" style="9" bestFit="1" customWidth="1"/>
    <col min="6" max="6" width="10.5703125" style="1" bestFit="1" customWidth="1"/>
    <col min="7" max="8" width="15.5703125" style="1" bestFit="1" customWidth="1"/>
    <col min="9" max="9" width="9.85546875" style="1" bestFit="1" customWidth="1"/>
    <col min="10" max="10" width="16.5703125" style="9" bestFit="1" customWidth="1"/>
    <col min="11" max="11" width="20.85546875" style="9" bestFit="1" customWidth="1"/>
    <col min="12" max="12" width="9.140625" style="9"/>
    <col min="13" max="13" width="16.85546875" style="1" bestFit="1" customWidth="1"/>
    <col min="14" max="16384" width="9.140625" style="1"/>
  </cols>
  <sheetData>
    <row r="1" spans="1:13" x14ac:dyDescent="0.25">
      <c r="A1" s="61" t="s">
        <v>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</row>
    <row r="2" spans="1:13" x14ac:dyDescent="0.25">
      <c r="A2" s="59" t="s">
        <v>4</v>
      </c>
      <c r="B2" s="58"/>
      <c r="C2" s="59" t="s">
        <v>0</v>
      </c>
      <c r="D2" s="58"/>
      <c r="E2" s="59" t="s">
        <v>1</v>
      </c>
      <c r="F2" s="60"/>
      <c r="G2" s="60"/>
      <c r="H2" s="58"/>
      <c r="I2" s="59" t="s">
        <v>20</v>
      </c>
      <c r="J2" s="60"/>
      <c r="K2" s="60"/>
      <c r="L2" s="58"/>
      <c r="M2" s="2" t="s">
        <v>22</v>
      </c>
    </row>
    <row r="3" spans="1:13" x14ac:dyDescent="0.25">
      <c r="A3" s="3" t="s">
        <v>2</v>
      </c>
      <c r="B3" s="3" t="s">
        <v>17</v>
      </c>
      <c r="C3" s="3" t="s">
        <v>10</v>
      </c>
      <c r="D3" s="3" t="s">
        <v>11</v>
      </c>
      <c r="E3" s="3" t="s">
        <v>18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19</v>
      </c>
      <c r="L3" s="3" t="s">
        <v>21</v>
      </c>
      <c r="M3" s="3" t="s">
        <v>23</v>
      </c>
    </row>
    <row r="4" spans="1:13" s="52" customFormat="1" x14ac:dyDescent="0.25">
      <c r="A4" s="52">
        <v>2</v>
      </c>
      <c r="B4" s="52">
        <v>201</v>
      </c>
      <c r="C4" s="52" t="s">
        <v>24</v>
      </c>
      <c r="D4" s="52">
        <v>10000</v>
      </c>
      <c r="E4" s="53">
        <v>2400</v>
      </c>
      <c r="F4" s="52" t="s">
        <v>55</v>
      </c>
      <c r="G4" s="54">
        <v>44562</v>
      </c>
      <c r="H4" s="54">
        <v>47118</v>
      </c>
      <c r="I4" s="52" t="s">
        <v>65</v>
      </c>
      <c r="J4" s="53">
        <v>0</v>
      </c>
      <c r="K4" s="53">
        <v>0</v>
      </c>
      <c r="L4" s="72">
        <f>+Summary!$H$15</f>
        <v>55</v>
      </c>
      <c r="M4" s="52" t="s">
        <v>65</v>
      </c>
    </row>
    <row r="5" spans="1:13" s="52" customFormat="1" x14ac:dyDescent="0.25">
      <c r="A5" s="52">
        <v>12</v>
      </c>
      <c r="B5" s="52">
        <v>1201</v>
      </c>
      <c r="C5" s="52" t="s">
        <v>24</v>
      </c>
      <c r="D5" s="52">
        <v>2500</v>
      </c>
      <c r="E5" s="53">
        <v>2400</v>
      </c>
      <c r="F5" s="52" t="s">
        <v>55</v>
      </c>
      <c r="G5" s="54">
        <v>44562</v>
      </c>
      <c r="H5" s="54">
        <v>47118</v>
      </c>
      <c r="I5" s="52" t="s">
        <v>65</v>
      </c>
      <c r="J5" s="53">
        <v>0</v>
      </c>
      <c r="K5" s="53">
        <v>0</v>
      </c>
      <c r="L5" s="72">
        <f>+Summary!$H$15</f>
        <v>55</v>
      </c>
      <c r="M5" s="52" t="s">
        <v>65</v>
      </c>
    </row>
    <row r="6" spans="1:13" s="52" customFormat="1" x14ac:dyDescent="0.25">
      <c r="A6" s="52">
        <v>12</v>
      </c>
      <c r="B6" s="52">
        <v>1202</v>
      </c>
      <c r="C6" s="52" t="s">
        <v>56</v>
      </c>
      <c r="D6" s="52">
        <v>4444</v>
      </c>
      <c r="E6" s="53">
        <v>2400</v>
      </c>
      <c r="F6" s="52" t="s">
        <v>55</v>
      </c>
      <c r="G6" s="54">
        <v>44562</v>
      </c>
      <c r="H6" s="54">
        <v>47118</v>
      </c>
      <c r="I6" s="52" t="s">
        <v>65</v>
      </c>
      <c r="J6" s="53">
        <v>0</v>
      </c>
      <c r="K6" s="53">
        <v>0</v>
      </c>
      <c r="L6" s="72">
        <f>+Summary!$H$15</f>
        <v>55</v>
      </c>
      <c r="M6" s="52" t="s">
        <v>65</v>
      </c>
    </row>
    <row r="7" spans="1:13" s="52" customFormat="1" x14ac:dyDescent="0.25">
      <c r="A7" s="52">
        <v>13</v>
      </c>
      <c r="B7" s="52">
        <v>1301</v>
      </c>
      <c r="C7" s="52" t="s">
        <v>56</v>
      </c>
      <c r="D7" s="52">
        <v>10000</v>
      </c>
      <c r="E7" s="53">
        <v>2400</v>
      </c>
      <c r="F7" s="52" t="s">
        <v>55</v>
      </c>
      <c r="G7" s="54">
        <v>44562</v>
      </c>
      <c r="H7" s="54">
        <v>47118</v>
      </c>
      <c r="I7" s="52" t="s">
        <v>65</v>
      </c>
      <c r="J7" s="53">
        <v>0</v>
      </c>
      <c r="K7" s="53">
        <v>0</v>
      </c>
      <c r="L7" s="72">
        <f>+Summary!$H$15</f>
        <v>55</v>
      </c>
      <c r="M7" s="52" t="s">
        <v>65</v>
      </c>
    </row>
    <row r="8" spans="1:13" s="52" customFormat="1" x14ac:dyDescent="0.25">
      <c r="A8" s="52">
        <v>14</v>
      </c>
      <c r="B8" s="52">
        <v>1401</v>
      </c>
      <c r="C8" s="52" t="s">
        <v>56</v>
      </c>
      <c r="D8" s="52">
        <v>10000</v>
      </c>
      <c r="E8" s="53">
        <v>2400</v>
      </c>
      <c r="F8" s="52" t="s">
        <v>55</v>
      </c>
      <c r="G8" s="54">
        <v>44562</v>
      </c>
      <c r="H8" s="54">
        <v>47118</v>
      </c>
      <c r="I8" s="52" t="s">
        <v>65</v>
      </c>
      <c r="J8" s="53">
        <v>0</v>
      </c>
      <c r="K8" s="53">
        <v>0</v>
      </c>
      <c r="L8" s="72">
        <f>+Summary!$H$15</f>
        <v>55</v>
      </c>
      <c r="M8" s="52" t="s">
        <v>65</v>
      </c>
    </row>
    <row r="9" spans="1:13" s="52" customFormat="1" x14ac:dyDescent="0.25">
      <c r="A9" s="52">
        <v>15</v>
      </c>
      <c r="B9" s="52">
        <v>1501</v>
      </c>
      <c r="C9" s="52" t="s">
        <v>56</v>
      </c>
      <c r="D9" s="52">
        <v>10000</v>
      </c>
      <c r="E9" s="53">
        <v>2400</v>
      </c>
      <c r="F9" s="52" t="s">
        <v>55</v>
      </c>
      <c r="G9" s="54">
        <v>44562</v>
      </c>
      <c r="H9" s="54">
        <v>47118</v>
      </c>
      <c r="I9" s="52" t="s">
        <v>65</v>
      </c>
      <c r="J9" s="53">
        <v>0</v>
      </c>
      <c r="K9" s="53">
        <v>0</v>
      </c>
      <c r="L9" s="72">
        <f>+Summary!$H$15</f>
        <v>55</v>
      </c>
      <c r="M9" s="52" t="s">
        <v>65</v>
      </c>
    </row>
    <row r="10" spans="1:13" s="52" customFormat="1" x14ac:dyDescent="0.25">
      <c r="A10" s="52">
        <v>16</v>
      </c>
      <c r="B10" s="52">
        <v>1601</v>
      </c>
      <c r="C10" s="52" t="s">
        <v>56</v>
      </c>
      <c r="D10" s="52">
        <v>10000</v>
      </c>
      <c r="E10" s="53">
        <v>2400</v>
      </c>
      <c r="F10" s="52" t="s">
        <v>55</v>
      </c>
      <c r="G10" s="54">
        <v>44562</v>
      </c>
      <c r="H10" s="54">
        <v>47118</v>
      </c>
      <c r="I10" s="52" t="s">
        <v>65</v>
      </c>
      <c r="J10" s="53">
        <v>0</v>
      </c>
      <c r="K10" s="53">
        <v>0</v>
      </c>
      <c r="L10" s="72">
        <f>+Summary!$H$15</f>
        <v>55</v>
      </c>
      <c r="M10" s="52" t="s">
        <v>65</v>
      </c>
    </row>
    <row r="11" spans="1:13" s="52" customFormat="1" x14ac:dyDescent="0.25">
      <c r="A11" s="52">
        <v>18</v>
      </c>
      <c r="B11" s="52">
        <v>1801</v>
      </c>
      <c r="C11" s="52" t="s">
        <v>57</v>
      </c>
      <c r="D11" s="52">
        <v>2278</v>
      </c>
      <c r="E11" s="53">
        <v>2400</v>
      </c>
      <c r="F11" s="52" t="s">
        <v>55</v>
      </c>
      <c r="G11" s="54">
        <v>44562</v>
      </c>
      <c r="H11" s="54">
        <v>47118</v>
      </c>
      <c r="I11" s="52" t="s">
        <v>65</v>
      </c>
      <c r="J11" s="53">
        <v>0</v>
      </c>
      <c r="K11" s="53">
        <v>0</v>
      </c>
      <c r="L11" s="72">
        <f>+Summary!$H$15</f>
        <v>55</v>
      </c>
      <c r="M11" s="52" t="s">
        <v>65</v>
      </c>
    </row>
    <row r="12" spans="1:13" s="52" customFormat="1" x14ac:dyDescent="0.25">
      <c r="A12" s="52">
        <v>22</v>
      </c>
      <c r="B12" s="52">
        <v>2201</v>
      </c>
      <c r="C12" s="52" t="s">
        <v>58</v>
      </c>
      <c r="D12" s="52">
        <v>8400</v>
      </c>
      <c r="E12" s="53">
        <v>2400</v>
      </c>
      <c r="F12" s="52" t="s">
        <v>55</v>
      </c>
      <c r="G12" s="54">
        <v>44562</v>
      </c>
      <c r="H12" s="54">
        <v>47118</v>
      </c>
      <c r="I12" s="52" t="s">
        <v>65</v>
      </c>
      <c r="J12" s="53">
        <v>0</v>
      </c>
      <c r="K12" s="53">
        <v>0</v>
      </c>
      <c r="L12" s="72">
        <f>+Summary!$H$15</f>
        <v>55</v>
      </c>
      <c r="M12" s="52" t="s">
        <v>65</v>
      </c>
    </row>
    <row r="13" spans="1:13" s="52" customFormat="1" x14ac:dyDescent="0.25">
      <c r="A13" s="52">
        <v>25</v>
      </c>
      <c r="B13" s="52">
        <v>2501</v>
      </c>
      <c r="C13" s="52" t="s">
        <v>59</v>
      </c>
      <c r="D13" s="52">
        <v>8200</v>
      </c>
      <c r="E13" s="53">
        <v>2400</v>
      </c>
      <c r="F13" s="52" t="s">
        <v>55</v>
      </c>
      <c r="G13" s="54">
        <v>44562</v>
      </c>
      <c r="H13" s="54">
        <v>47118</v>
      </c>
      <c r="I13" s="52" t="s">
        <v>65</v>
      </c>
      <c r="J13" s="53">
        <v>0</v>
      </c>
      <c r="K13" s="53">
        <v>0</v>
      </c>
      <c r="L13" s="72">
        <f>+Summary!$H$15</f>
        <v>55</v>
      </c>
      <c r="M13" s="52" t="s">
        <v>65</v>
      </c>
    </row>
    <row r="14" spans="1:13" s="52" customFormat="1" x14ac:dyDescent="0.25">
      <c r="A14" s="52">
        <v>28</v>
      </c>
      <c r="B14" s="52">
        <v>2801</v>
      </c>
      <c r="C14" s="52" t="s">
        <v>60</v>
      </c>
      <c r="D14" s="52">
        <v>10000</v>
      </c>
      <c r="E14" s="53">
        <v>2400</v>
      </c>
      <c r="F14" s="52" t="s">
        <v>55</v>
      </c>
      <c r="G14" s="54">
        <v>44562</v>
      </c>
      <c r="H14" s="54">
        <v>47118</v>
      </c>
      <c r="I14" s="52" t="s">
        <v>65</v>
      </c>
      <c r="J14" s="53">
        <v>0</v>
      </c>
      <c r="K14" s="53">
        <v>0</v>
      </c>
      <c r="L14" s="72">
        <f>+Summary!$H$15</f>
        <v>55</v>
      </c>
      <c r="M14" s="52" t="s">
        <v>65</v>
      </c>
    </row>
    <row r="15" spans="1:13" s="52" customFormat="1" x14ac:dyDescent="0.25">
      <c r="A15" s="52">
        <v>29</v>
      </c>
      <c r="B15" s="52">
        <v>2901</v>
      </c>
      <c r="C15" s="52" t="s">
        <v>60</v>
      </c>
      <c r="D15" s="52">
        <v>2778</v>
      </c>
      <c r="E15" s="53">
        <v>2400</v>
      </c>
      <c r="F15" s="52" t="s">
        <v>55</v>
      </c>
      <c r="G15" s="54">
        <v>44562</v>
      </c>
      <c r="H15" s="54">
        <v>47118</v>
      </c>
      <c r="I15" s="52" t="s">
        <v>65</v>
      </c>
      <c r="J15" s="53">
        <v>0</v>
      </c>
      <c r="K15" s="53">
        <v>0</v>
      </c>
      <c r="L15" s="72">
        <f>+Summary!$H$15</f>
        <v>55</v>
      </c>
      <c r="M15" s="52" t="s">
        <v>65</v>
      </c>
    </row>
    <row r="16" spans="1:13" s="52" customFormat="1" x14ac:dyDescent="0.25">
      <c r="A16" s="52">
        <v>29</v>
      </c>
      <c r="B16" s="52">
        <v>2902</v>
      </c>
      <c r="C16" s="52" t="s">
        <v>61</v>
      </c>
      <c r="D16" s="52">
        <v>2892</v>
      </c>
      <c r="E16" s="53">
        <v>2400</v>
      </c>
      <c r="F16" s="52" t="s">
        <v>55</v>
      </c>
      <c r="G16" s="54">
        <v>44562</v>
      </c>
      <c r="H16" s="54">
        <v>47118</v>
      </c>
      <c r="I16" s="52" t="s">
        <v>65</v>
      </c>
      <c r="J16" s="53">
        <v>0</v>
      </c>
      <c r="K16" s="53">
        <v>0</v>
      </c>
      <c r="L16" s="72">
        <f>+Summary!$H$15</f>
        <v>55</v>
      </c>
      <c r="M16" s="52" t="s">
        <v>65</v>
      </c>
    </row>
    <row r="17" spans="1:13" s="52" customFormat="1" x14ac:dyDescent="0.25">
      <c r="A17" s="52">
        <v>30</v>
      </c>
      <c r="B17" s="52">
        <v>3001</v>
      </c>
      <c r="C17" s="52" t="s">
        <v>62</v>
      </c>
      <c r="D17" s="52">
        <v>10000</v>
      </c>
      <c r="E17" s="53">
        <v>2400</v>
      </c>
      <c r="F17" s="52" t="s">
        <v>55</v>
      </c>
      <c r="G17" s="54">
        <v>44562</v>
      </c>
      <c r="H17" s="54">
        <v>47118</v>
      </c>
      <c r="I17" s="52" t="s">
        <v>65</v>
      </c>
      <c r="J17" s="53">
        <v>0</v>
      </c>
      <c r="K17" s="53">
        <v>0</v>
      </c>
      <c r="L17" s="72">
        <f>+Summary!$H$15</f>
        <v>55</v>
      </c>
      <c r="M17" s="52" t="s">
        <v>65</v>
      </c>
    </row>
    <row r="18" spans="1:13" s="52" customFormat="1" x14ac:dyDescent="0.25">
      <c r="A18" s="52">
        <v>31</v>
      </c>
      <c r="B18" s="52">
        <v>3101</v>
      </c>
      <c r="C18" s="52" t="s">
        <v>62</v>
      </c>
      <c r="D18" s="52">
        <v>10000</v>
      </c>
      <c r="E18" s="53">
        <v>2400</v>
      </c>
      <c r="F18" s="52" t="s">
        <v>55</v>
      </c>
      <c r="G18" s="54">
        <v>44562</v>
      </c>
      <c r="H18" s="54">
        <v>47118</v>
      </c>
      <c r="I18" s="52" t="s">
        <v>65</v>
      </c>
      <c r="J18" s="53">
        <v>0</v>
      </c>
      <c r="K18" s="53">
        <v>0</v>
      </c>
      <c r="L18" s="72">
        <f>+Summary!$H$15</f>
        <v>55</v>
      </c>
      <c r="M18" s="52" t="s">
        <v>65</v>
      </c>
    </row>
    <row r="19" spans="1:13" s="52" customFormat="1" x14ac:dyDescent="0.25">
      <c r="A19" s="52">
        <v>32</v>
      </c>
      <c r="B19" s="52">
        <v>3201</v>
      </c>
      <c r="C19" s="52" t="s">
        <v>62</v>
      </c>
      <c r="D19" s="52">
        <v>10000</v>
      </c>
      <c r="E19" s="53">
        <v>2400</v>
      </c>
      <c r="F19" s="52" t="s">
        <v>55</v>
      </c>
      <c r="G19" s="54">
        <v>44562</v>
      </c>
      <c r="H19" s="54">
        <v>47118</v>
      </c>
      <c r="I19" s="52" t="s">
        <v>65</v>
      </c>
      <c r="J19" s="53">
        <v>0</v>
      </c>
      <c r="K19" s="53">
        <v>0</v>
      </c>
      <c r="L19" s="72">
        <f>+Summary!$H$15</f>
        <v>55</v>
      </c>
      <c r="M19" s="52" t="s">
        <v>65</v>
      </c>
    </row>
    <row r="20" spans="1:13" s="52" customFormat="1" x14ac:dyDescent="0.25">
      <c r="A20" s="52">
        <v>33</v>
      </c>
      <c r="B20" s="52">
        <v>3301</v>
      </c>
      <c r="C20" s="52" t="s">
        <v>62</v>
      </c>
      <c r="D20" s="52">
        <v>10000</v>
      </c>
      <c r="E20" s="53">
        <v>2400</v>
      </c>
      <c r="F20" s="52" t="s">
        <v>55</v>
      </c>
      <c r="G20" s="54">
        <v>44562</v>
      </c>
      <c r="H20" s="54">
        <v>47118</v>
      </c>
      <c r="I20" s="52" t="s">
        <v>65</v>
      </c>
      <c r="J20" s="53">
        <v>0</v>
      </c>
      <c r="K20" s="53">
        <v>0</v>
      </c>
      <c r="L20" s="72">
        <f>+Summary!$H$15</f>
        <v>55</v>
      </c>
      <c r="M20" s="52" t="s">
        <v>65</v>
      </c>
    </row>
    <row r="21" spans="1:13" s="52" customFormat="1" x14ac:dyDescent="0.25">
      <c r="A21" s="52">
        <v>34</v>
      </c>
      <c r="B21" s="52">
        <v>3401</v>
      </c>
      <c r="C21" s="52" t="s">
        <v>62</v>
      </c>
      <c r="D21" s="52">
        <v>10000</v>
      </c>
      <c r="E21" s="53">
        <v>2400</v>
      </c>
      <c r="F21" s="52" t="s">
        <v>55</v>
      </c>
      <c r="G21" s="54">
        <v>44562</v>
      </c>
      <c r="H21" s="54">
        <v>47118</v>
      </c>
      <c r="I21" s="52" t="s">
        <v>65</v>
      </c>
      <c r="J21" s="53">
        <v>0</v>
      </c>
      <c r="K21" s="53">
        <v>0</v>
      </c>
      <c r="L21" s="72">
        <f>+Summary!$H$15</f>
        <v>55</v>
      </c>
      <c r="M21" s="52" t="s">
        <v>65</v>
      </c>
    </row>
    <row r="22" spans="1:13" s="52" customFormat="1" x14ac:dyDescent="0.25">
      <c r="A22" s="52">
        <v>39</v>
      </c>
      <c r="B22" s="52">
        <v>3901</v>
      </c>
      <c r="C22" s="52" t="s">
        <v>63</v>
      </c>
      <c r="D22" s="52">
        <v>1319</v>
      </c>
      <c r="E22" s="53">
        <v>2400</v>
      </c>
      <c r="F22" s="52" t="s">
        <v>55</v>
      </c>
      <c r="G22" s="54">
        <v>44562</v>
      </c>
      <c r="H22" s="54">
        <v>47118</v>
      </c>
      <c r="I22" s="52" t="s">
        <v>65</v>
      </c>
      <c r="J22" s="53">
        <v>0</v>
      </c>
      <c r="K22" s="53">
        <v>0</v>
      </c>
      <c r="L22" s="72">
        <f>+Summary!$H$15</f>
        <v>55</v>
      </c>
      <c r="M22" s="52" t="s">
        <v>65</v>
      </c>
    </row>
    <row r="23" spans="1:13" s="52" customFormat="1" x14ac:dyDescent="0.25">
      <c r="A23" s="52">
        <v>42</v>
      </c>
      <c r="B23" s="52">
        <v>4201</v>
      </c>
      <c r="C23" s="52" t="s">
        <v>64</v>
      </c>
      <c r="D23" s="52">
        <v>10000</v>
      </c>
      <c r="E23" s="53">
        <v>2400</v>
      </c>
      <c r="F23" s="52" t="s">
        <v>55</v>
      </c>
      <c r="G23" s="54">
        <v>44562</v>
      </c>
      <c r="H23" s="54">
        <v>47118</v>
      </c>
      <c r="I23" s="52" t="s">
        <v>65</v>
      </c>
      <c r="J23" s="53">
        <v>0</v>
      </c>
      <c r="K23" s="53">
        <v>0</v>
      </c>
      <c r="L23" s="72">
        <f>+Summary!$H$15</f>
        <v>55</v>
      </c>
      <c r="M23" s="52" t="s">
        <v>65</v>
      </c>
    </row>
    <row r="24" spans="1:13" s="52" customFormat="1" x14ac:dyDescent="0.25">
      <c r="A24" s="52">
        <v>43</v>
      </c>
      <c r="B24" s="52">
        <v>4301</v>
      </c>
      <c r="C24" s="52" t="s">
        <v>64</v>
      </c>
      <c r="D24" s="52">
        <v>10000</v>
      </c>
      <c r="E24" s="53">
        <v>2400</v>
      </c>
      <c r="F24" s="52" t="s">
        <v>55</v>
      </c>
      <c r="G24" s="54">
        <v>44562</v>
      </c>
      <c r="H24" s="54">
        <v>47118</v>
      </c>
      <c r="I24" s="52" t="s">
        <v>65</v>
      </c>
      <c r="J24" s="53">
        <v>0</v>
      </c>
      <c r="K24" s="53">
        <v>0</v>
      </c>
      <c r="L24" s="72">
        <f>+Summary!$H$15</f>
        <v>55</v>
      </c>
      <c r="M24" s="52" t="s">
        <v>65</v>
      </c>
    </row>
    <row r="25" spans="1:13" s="52" customFormat="1" x14ac:dyDescent="0.25">
      <c r="A25" s="52">
        <v>44</v>
      </c>
      <c r="B25" s="52">
        <v>4401</v>
      </c>
      <c r="C25" s="52" t="s">
        <v>64</v>
      </c>
      <c r="D25" s="52">
        <v>10000</v>
      </c>
      <c r="E25" s="53">
        <v>2400</v>
      </c>
      <c r="F25" s="52" t="s">
        <v>55</v>
      </c>
      <c r="G25" s="54">
        <v>44562</v>
      </c>
      <c r="H25" s="54">
        <v>47118</v>
      </c>
      <c r="I25" s="52" t="s">
        <v>65</v>
      </c>
      <c r="J25" s="53">
        <v>0</v>
      </c>
      <c r="K25" s="53">
        <v>0</v>
      </c>
      <c r="L25" s="72">
        <f>+Summary!$H$15</f>
        <v>55</v>
      </c>
      <c r="M25" s="52" t="s">
        <v>65</v>
      </c>
    </row>
    <row r="26" spans="1:13" s="52" customFormat="1" x14ac:dyDescent="0.25">
      <c r="A26" s="52">
        <v>45</v>
      </c>
      <c r="B26" s="52">
        <v>4501</v>
      </c>
      <c r="C26" s="52" t="s">
        <v>64</v>
      </c>
      <c r="D26" s="52">
        <v>10000</v>
      </c>
      <c r="E26" s="53">
        <v>2400</v>
      </c>
      <c r="F26" s="52" t="s">
        <v>55</v>
      </c>
      <c r="G26" s="54">
        <v>44562</v>
      </c>
      <c r="H26" s="54">
        <v>47118</v>
      </c>
      <c r="I26" s="52" t="s">
        <v>65</v>
      </c>
      <c r="J26" s="53">
        <v>0</v>
      </c>
      <c r="K26" s="53">
        <v>0</v>
      </c>
      <c r="L26" s="72">
        <f>+Summary!$H$15</f>
        <v>55</v>
      </c>
      <c r="M26" s="52" t="s">
        <v>65</v>
      </c>
    </row>
    <row r="27" spans="1:13" s="52" customFormat="1" x14ac:dyDescent="0.25">
      <c r="A27" s="52">
        <v>46</v>
      </c>
      <c r="B27" s="52">
        <v>4601</v>
      </c>
      <c r="C27" s="52" t="s">
        <v>64</v>
      </c>
      <c r="D27" s="52">
        <v>10000</v>
      </c>
      <c r="E27" s="53">
        <v>2400</v>
      </c>
      <c r="F27" s="52" t="s">
        <v>55</v>
      </c>
      <c r="G27" s="54">
        <v>44562</v>
      </c>
      <c r="H27" s="54">
        <v>47118</v>
      </c>
      <c r="I27" s="52" t="s">
        <v>65</v>
      </c>
      <c r="J27" s="53">
        <v>0</v>
      </c>
      <c r="K27" s="53">
        <v>0</v>
      </c>
      <c r="L27" s="72">
        <f>+Summary!$H$15</f>
        <v>55</v>
      </c>
      <c r="M27" s="52" t="s">
        <v>65</v>
      </c>
    </row>
    <row r="28" spans="1:13" s="52" customFormat="1" x14ac:dyDescent="0.25">
      <c r="A28" s="52">
        <v>47</v>
      </c>
      <c r="B28" s="52">
        <v>4701</v>
      </c>
      <c r="C28" s="52" t="s">
        <v>64</v>
      </c>
      <c r="D28" s="52">
        <v>10000</v>
      </c>
      <c r="E28" s="53">
        <v>2400</v>
      </c>
      <c r="F28" s="52" t="s">
        <v>55</v>
      </c>
      <c r="G28" s="54">
        <v>44562</v>
      </c>
      <c r="H28" s="54">
        <v>47118</v>
      </c>
      <c r="I28" s="52" t="s">
        <v>65</v>
      </c>
      <c r="J28" s="53">
        <v>0</v>
      </c>
      <c r="K28" s="53">
        <v>0</v>
      </c>
      <c r="L28" s="72">
        <f>+Summary!$H$15</f>
        <v>55</v>
      </c>
      <c r="M28" s="52" t="s">
        <v>65</v>
      </c>
    </row>
  </sheetData>
  <mergeCells count="5">
    <mergeCell ref="I2:L2"/>
    <mergeCell ref="E2:H2"/>
    <mergeCell ref="C2:D2"/>
    <mergeCell ref="A2:B2"/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Rent 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Kim</dc:creator>
  <cp:lastModifiedBy>Kim, Ian</cp:lastModifiedBy>
  <dcterms:created xsi:type="dcterms:W3CDTF">2015-06-05T18:17:20Z</dcterms:created>
  <dcterms:modified xsi:type="dcterms:W3CDTF">2026-02-08T03:35:45Z</dcterms:modified>
</cp:coreProperties>
</file>